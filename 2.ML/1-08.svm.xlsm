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seong\Desktop\(R)금융데이터마이닝\실습파일\"/>
    </mc:Choice>
  </mc:AlternateContent>
  <bookViews>
    <workbookView xWindow="360" yWindow="135" windowWidth="21555" windowHeight="9870"/>
  </bookViews>
  <sheets>
    <sheet name="SVM" sheetId="1" r:id="rId1"/>
    <sheet name="학습데이터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R7" i="1" l="1"/>
  <c r="Q7" i="1"/>
  <c r="P7" i="1"/>
  <c r="O8" i="1" l="1"/>
  <c r="R8" i="1" l="1"/>
  <c r="P8" i="1"/>
  <c r="Q8" i="1"/>
  <c r="O9" i="1"/>
  <c r="Q9" i="1" l="1"/>
  <c r="R9" i="1"/>
  <c r="P9" i="1"/>
  <c r="O10" i="1"/>
  <c r="R10" i="1" l="1"/>
  <c r="Q10" i="1"/>
  <c r="P10" i="1"/>
  <c r="O11" i="1"/>
  <c r="Q11" i="1" l="1"/>
  <c r="R11" i="1"/>
  <c r="P11" i="1"/>
  <c r="O12" i="1"/>
  <c r="R12" i="1" l="1"/>
  <c r="P12" i="1"/>
  <c r="Q12" i="1"/>
  <c r="O13" i="1"/>
  <c r="Q13" i="1" l="1"/>
  <c r="R13" i="1"/>
  <c r="P13" i="1"/>
  <c r="O14" i="1"/>
  <c r="R14" i="1" l="1"/>
  <c r="Q14" i="1"/>
  <c r="P14" i="1"/>
  <c r="O15" i="1"/>
  <c r="Q15" i="1" l="1"/>
  <c r="R15" i="1"/>
  <c r="P15" i="1"/>
  <c r="O16" i="1"/>
  <c r="R16" i="1" l="1"/>
  <c r="P16" i="1"/>
  <c r="Q16" i="1"/>
  <c r="O17" i="1"/>
  <c r="Q17" i="1" l="1"/>
  <c r="R17" i="1"/>
  <c r="P17" i="1"/>
</calcChain>
</file>

<file path=xl/sharedStrings.xml><?xml version="1.0" encoding="utf-8"?>
<sst xmlns="http://schemas.openxmlformats.org/spreadsheetml/2006/main" count="21" uniqueCount="21">
  <si>
    <t>x1</t>
    <phoneticPr fontId="1" type="noConversion"/>
  </si>
  <si>
    <t>x2</t>
    <phoneticPr fontId="1" type="noConversion"/>
  </si>
  <si>
    <t>y</t>
    <phoneticPr fontId="1" type="noConversion"/>
  </si>
  <si>
    <t>학습 데이터</t>
    <phoneticPr fontId="1" type="noConversion"/>
  </si>
  <si>
    <t>No</t>
    <phoneticPr fontId="1" type="noConversion"/>
  </si>
  <si>
    <t>N</t>
    <phoneticPr fontId="1" type="noConversion"/>
  </si>
  <si>
    <t>파라메터</t>
    <phoneticPr fontId="1" type="noConversion"/>
  </si>
  <si>
    <t>Lamda</t>
    <phoneticPr fontId="1" type="noConversion"/>
  </si>
  <si>
    <t>w1</t>
    <phoneticPr fontId="1" type="noConversion"/>
  </si>
  <si>
    <t>w2</t>
    <phoneticPr fontId="1" type="noConversion"/>
  </si>
  <si>
    <t>b</t>
    <phoneticPr fontId="1" type="noConversion"/>
  </si>
  <si>
    <t>x1</t>
    <phoneticPr fontId="1" type="noConversion"/>
  </si>
  <si>
    <t>x2</t>
    <phoneticPr fontId="1" type="noConversion"/>
  </si>
  <si>
    <t>Support Vector Machine</t>
    <phoneticPr fontId="1" type="noConversion"/>
  </si>
  <si>
    <t>b1</t>
    <phoneticPr fontId="1" type="noConversion"/>
  </si>
  <si>
    <t>b2</t>
    <phoneticPr fontId="1" type="noConversion"/>
  </si>
  <si>
    <t>C</t>
    <phoneticPr fontId="1" type="noConversion"/>
  </si>
  <si>
    <t>sv1</t>
    <phoneticPr fontId="1" type="noConversion"/>
  </si>
  <si>
    <t>sv2</t>
    <phoneticPr fontId="1" type="noConversion"/>
  </si>
  <si>
    <t>Decision Boundary</t>
    <phoneticPr fontId="1" type="noConversion"/>
  </si>
  <si>
    <t>초기화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</si>
</sst>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00"/>
    <numFmt numFmtId="177" formatCode="0.0000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4"/>
      <color rgb="FFFF000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3" fillId="0" borderId="0" xfId="0" applyFont="1">
      <alignment vertical="center"/>
    </xf>
    <xf numFmtId="176" fontId="2" fillId="0" borderId="1" xfId="0" applyNumberFormat="1" applyFont="1" applyBorder="1" applyAlignment="1">
      <alignment horizontal="center" vertical="center"/>
    </xf>
    <xf numFmtId="177" fontId="2" fillId="0" borderId="1" xfId="0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5" fillId="2" borderId="4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>
                <a:latin typeface="+mn-ea"/>
                <a:ea typeface="+mn-ea"/>
              </a:defRPr>
            </a:pPr>
            <a:r>
              <a:rPr lang="en-US" altLang="ko-KR" sz="1000">
                <a:latin typeface="+mn-ea"/>
                <a:ea typeface="+mn-ea"/>
              </a:rPr>
              <a:t>Red : +1, Blue : -1</a:t>
            </a:r>
            <a:endParaRPr lang="ko-KR" altLang="en-US" sz="1000">
              <a:latin typeface="+mn-ea"/>
              <a:ea typeface="+mn-ea"/>
            </a:endParaRPr>
          </a:p>
        </c:rich>
      </c:tx>
      <c:layout>
        <c:manualLayout>
          <c:xMode val="edge"/>
          <c:yMode val="edge"/>
          <c:x val="2.2788545662561412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154216299885591"/>
          <c:y val="0.10260031928998566"/>
          <c:w val="0.8206161249074635"/>
          <c:h val="0.7826154720350677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8"/>
          </c:marker>
          <c:dPt>
            <c:idx val="0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F757-4F8D-BD13-560A8579F2EB}"/>
              </c:ext>
            </c:extLst>
          </c:dPt>
          <c:dPt>
            <c:idx val="1"/>
            <c:marker>
              <c:spPr>
                <a:solidFill>
                  <a:srgbClr val="0000FF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F757-4F8D-BD13-560A8579F2EB}"/>
              </c:ext>
            </c:extLst>
          </c:dPt>
          <c:dPt>
            <c:idx val="2"/>
            <c:marker>
              <c:spPr>
                <a:solidFill>
                  <a:srgbClr val="0000FF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F757-4F8D-BD13-560A8579F2EB}"/>
              </c:ext>
            </c:extLst>
          </c:dPt>
          <c:dPt>
            <c:idx val="3"/>
            <c:marker>
              <c:spPr>
                <a:solidFill>
                  <a:srgbClr val="0000FF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F757-4F8D-BD13-560A8579F2EB}"/>
              </c:ext>
            </c:extLst>
          </c:dPt>
          <c:dPt>
            <c:idx val="4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F757-4F8D-BD13-560A8579F2EB}"/>
              </c:ext>
            </c:extLst>
          </c:dPt>
          <c:dPt>
            <c:idx val="5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F757-4F8D-BD13-560A8579F2EB}"/>
              </c:ext>
            </c:extLst>
          </c:dPt>
          <c:dPt>
            <c:idx val="6"/>
            <c:marker>
              <c:spPr>
                <a:solidFill>
                  <a:srgbClr val="0000FF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F757-4F8D-BD13-560A8579F2EB}"/>
              </c:ext>
            </c:extLst>
          </c:dPt>
          <c:dPt>
            <c:idx val="7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F757-4F8D-BD13-560A8579F2EB}"/>
              </c:ext>
            </c:extLst>
          </c:dPt>
          <c:dPt>
            <c:idx val="8"/>
            <c:marker>
              <c:spPr>
                <a:solidFill>
                  <a:srgbClr val="0000FF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F757-4F8D-BD13-560A8579F2EB}"/>
              </c:ext>
            </c:extLst>
          </c:dPt>
          <c:dPt>
            <c:idx val="9"/>
            <c:marker>
              <c:spPr>
                <a:solidFill>
                  <a:srgbClr val="0000FF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F757-4F8D-BD13-560A8579F2EB}"/>
              </c:ext>
            </c:extLst>
          </c:dPt>
          <c:dPt>
            <c:idx val="10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F757-4F8D-BD13-560A8579F2EB}"/>
              </c:ext>
            </c:extLst>
          </c:dPt>
          <c:dPt>
            <c:idx val="11"/>
            <c:marker>
              <c:spPr>
                <a:solidFill>
                  <a:srgbClr val="0000FF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F757-4F8D-BD13-560A8579F2EB}"/>
              </c:ext>
            </c:extLst>
          </c:dPt>
          <c:dPt>
            <c:idx val="12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F757-4F8D-BD13-560A8579F2EB}"/>
              </c:ext>
            </c:extLst>
          </c:dPt>
          <c:dPt>
            <c:idx val="13"/>
            <c:marker>
              <c:spPr>
                <a:solidFill>
                  <a:srgbClr val="0000FF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F757-4F8D-BD13-560A8579F2EB}"/>
              </c:ext>
            </c:extLst>
          </c:dPt>
          <c:dPt>
            <c:idx val="14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F757-4F8D-BD13-560A8579F2EB}"/>
              </c:ext>
            </c:extLst>
          </c:dPt>
          <c:dPt>
            <c:idx val="15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F757-4F8D-BD13-560A8579F2EB}"/>
              </c:ext>
            </c:extLst>
          </c:dPt>
          <c:dPt>
            <c:idx val="16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F757-4F8D-BD13-560A8579F2EB}"/>
              </c:ext>
            </c:extLst>
          </c:dPt>
          <c:dPt>
            <c:idx val="17"/>
            <c:marker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F757-4F8D-BD13-560A8579F2EB}"/>
              </c:ext>
            </c:extLst>
          </c:dPt>
          <c:dPt>
            <c:idx val="18"/>
            <c:marker>
              <c:spPr>
                <a:solidFill>
                  <a:srgbClr val="0000FF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F757-4F8D-BD13-560A8579F2EB}"/>
              </c:ext>
            </c:extLst>
          </c:dPt>
          <c:dPt>
            <c:idx val="19"/>
            <c:marker>
              <c:spPr>
                <a:solidFill>
                  <a:srgbClr val="0000FF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F757-4F8D-BD13-560A8579F2EB}"/>
              </c:ext>
            </c:extLst>
          </c:dPt>
          <c:xVal>
            <c:numRef>
              <c:f>SVM!$B$4:$B$23</c:f>
              <c:numCache>
                <c:formatCode>General</c:formatCode>
                <c:ptCount val="20"/>
                <c:pt idx="0">
                  <c:v>0.2</c:v>
                </c:pt>
                <c:pt idx="1">
                  <c:v>0.68710000000000004</c:v>
                </c:pt>
                <c:pt idx="2">
                  <c:v>0.82179999999999997</c:v>
                </c:pt>
                <c:pt idx="3">
                  <c:v>0.73819999999999997</c:v>
                </c:pt>
                <c:pt idx="4">
                  <c:v>0.17630000000000001</c:v>
                </c:pt>
                <c:pt idx="5">
                  <c:v>0.40570000000000001</c:v>
                </c:pt>
                <c:pt idx="6">
                  <c:v>0.9355</c:v>
                </c:pt>
                <c:pt idx="7">
                  <c:v>0.21460000000000001</c:v>
                </c:pt>
                <c:pt idx="8">
                  <c:v>0.61199999999999999</c:v>
                </c:pt>
                <c:pt idx="9">
                  <c:v>0.78400000000000003</c:v>
                </c:pt>
                <c:pt idx="10">
                  <c:v>0.61199999999999999</c:v>
                </c:pt>
                <c:pt idx="11">
                  <c:v>0.35699999999999998</c:v>
                </c:pt>
                <c:pt idx="12">
                  <c:v>0.20399999999999999</c:v>
                </c:pt>
                <c:pt idx="13">
                  <c:v>0.51200000000000001</c:v>
                </c:pt>
                <c:pt idx="14">
                  <c:v>0.498</c:v>
                </c:pt>
                <c:pt idx="15">
                  <c:v>0.251</c:v>
                </c:pt>
                <c:pt idx="16">
                  <c:v>0.502</c:v>
                </c:pt>
                <c:pt idx="17">
                  <c:v>0.11899999999999999</c:v>
                </c:pt>
                <c:pt idx="18">
                  <c:v>0.495</c:v>
                </c:pt>
                <c:pt idx="19">
                  <c:v>0.61199999999999999</c:v>
                </c:pt>
              </c:numCache>
            </c:numRef>
          </c:xVal>
          <c:yVal>
            <c:numRef>
              <c:f>SVM!$C$4:$C$23</c:f>
              <c:numCache>
                <c:formatCode>General</c:formatCode>
                <c:ptCount val="20"/>
                <c:pt idx="0">
                  <c:v>0.86870000000000003</c:v>
                </c:pt>
                <c:pt idx="1">
                  <c:v>0.21199999999999999</c:v>
                </c:pt>
                <c:pt idx="2">
                  <c:v>0.41103000000000001</c:v>
                </c:pt>
                <c:pt idx="3">
                  <c:v>0.69359999999999999</c:v>
                </c:pt>
                <c:pt idx="4">
                  <c:v>0.45790000000000003</c:v>
                </c:pt>
                <c:pt idx="5">
                  <c:v>0.75290000000000001</c:v>
                </c:pt>
                <c:pt idx="6">
                  <c:v>0.41320000000000001</c:v>
                </c:pt>
                <c:pt idx="7">
                  <c:v>0.40990000000000004</c:v>
                </c:pt>
                <c:pt idx="8">
                  <c:v>0.375</c:v>
                </c:pt>
                <c:pt idx="9">
                  <c:v>0.60199999999999998</c:v>
                </c:pt>
                <c:pt idx="10">
                  <c:v>0.55400000000000005</c:v>
                </c:pt>
                <c:pt idx="11">
                  <c:v>0.254</c:v>
                </c:pt>
                <c:pt idx="12">
                  <c:v>0.77500000000000002</c:v>
                </c:pt>
                <c:pt idx="13">
                  <c:v>0.745</c:v>
                </c:pt>
                <c:pt idx="14">
                  <c:v>0.28699999999999998</c:v>
                </c:pt>
                <c:pt idx="15">
                  <c:v>0.55700000000000005</c:v>
                </c:pt>
                <c:pt idx="16">
                  <c:v>0.52300000000000002</c:v>
                </c:pt>
                <c:pt idx="17">
                  <c:v>0.68700000000000006</c:v>
                </c:pt>
                <c:pt idx="18">
                  <c:v>0.92400000000000004</c:v>
                </c:pt>
                <c:pt idx="19">
                  <c:v>0.85099999999999998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F757-4F8D-BD13-560A8579F2EB}"/>
            </c:ext>
          </c:extLst>
        </c:ser>
        <c:ser>
          <c:idx val="1"/>
          <c:order val="1"/>
          <c:tx>
            <c:v>Decision Boundary</c:v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SVM!$O$7:$O$17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SVM!$P$7:$P$17</c:f>
              <c:numCache>
                <c:formatCode>0.0000</c:formatCode>
                <c:ptCount val="11"/>
                <c:pt idx="0">
                  <c:v>2.4472721289640824</c:v>
                </c:pt>
                <c:pt idx="1">
                  <c:v>2.0766318374487533</c:v>
                </c:pt>
                <c:pt idx="2">
                  <c:v>1.7059915459334245</c:v>
                </c:pt>
                <c:pt idx="3">
                  <c:v>1.3353512544180954</c:v>
                </c:pt>
                <c:pt idx="4">
                  <c:v>0.96471096290276659</c:v>
                </c:pt>
                <c:pt idx="5">
                  <c:v>0.59407067138743797</c:v>
                </c:pt>
                <c:pt idx="6">
                  <c:v>0.22343037987210934</c:v>
                </c:pt>
                <c:pt idx="7">
                  <c:v>-0.14720991164321973</c:v>
                </c:pt>
                <c:pt idx="8">
                  <c:v>-0.51785020315854835</c:v>
                </c:pt>
                <c:pt idx="9">
                  <c:v>-0.88849049467387742</c:v>
                </c:pt>
                <c:pt idx="10">
                  <c:v>-1.259130786189206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F757-4F8D-BD13-560A8579F2EB}"/>
            </c:ext>
          </c:extLst>
        </c:ser>
        <c:ser>
          <c:idx val="2"/>
          <c:order val="2"/>
          <c:tx>
            <c:v>Upper</c:v>
          </c:tx>
          <c:spPr>
            <a:ln w="12700">
              <a:solidFill>
                <a:srgbClr val="C00000"/>
              </a:solidFill>
              <a:prstDash val="dash"/>
            </a:ln>
          </c:spPr>
          <c:marker>
            <c:symbol val="none"/>
          </c:marker>
          <c:xVal>
            <c:numRef>
              <c:f>SVM!$O$7:$O$17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SVM!$Q$7:$Q$17</c:f>
              <c:numCache>
                <c:formatCode>0.0000</c:formatCode>
                <c:ptCount val="11"/>
                <c:pt idx="0">
                  <c:v>2.7586694430018248</c:v>
                </c:pt>
                <c:pt idx="1">
                  <c:v>2.3880291514864957</c:v>
                </c:pt>
                <c:pt idx="2">
                  <c:v>2.0173888599711667</c:v>
                </c:pt>
                <c:pt idx="3">
                  <c:v>1.6467485684558378</c:v>
                </c:pt>
                <c:pt idx="4">
                  <c:v>1.276108276940509</c:v>
                </c:pt>
                <c:pt idx="5">
                  <c:v>0.90546798542518037</c:v>
                </c:pt>
                <c:pt idx="6">
                  <c:v>0.53482769390985174</c:v>
                </c:pt>
                <c:pt idx="7">
                  <c:v>0.16418740239452267</c:v>
                </c:pt>
                <c:pt idx="8">
                  <c:v>-0.20645288912080595</c:v>
                </c:pt>
                <c:pt idx="9">
                  <c:v>-0.57709318063613502</c:v>
                </c:pt>
                <c:pt idx="10">
                  <c:v>-0.94773347215146364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F757-4F8D-BD13-560A8579F2EB}"/>
            </c:ext>
          </c:extLst>
        </c:ser>
        <c:ser>
          <c:idx val="3"/>
          <c:order val="3"/>
          <c:tx>
            <c:v>sv1</c:v>
          </c:tx>
          <c:spPr>
            <a:ln w="12700">
              <a:solidFill>
                <a:srgbClr val="C00000"/>
              </a:solidFill>
              <a:prstDash val="dash"/>
            </a:ln>
          </c:spPr>
          <c:marker>
            <c:symbol val="none"/>
          </c:marker>
          <c:xVal>
            <c:numRef>
              <c:f>SVM!$O$7:$O$17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SVM!$R$7:$R$17</c:f>
              <c:numCache>
                <c:formatCode>0.0000</c:formatCode>
                <c:ptCount val="11"/>
                <c:pt idx="0">
                  <c:v>2.1327886517463379</c:v>
                </c:pt>
                <c:pt idx="1">
                  <c:v>1.7621483602310088</c:v>
                </c:pt>
                <c:pt idx="2">
                  <c:v>1.39150806871568</c:v>
                </c:pt>
                <c:pt idx="3">
                  <c:v>1.0208677772003509</c:v>
                </c:pt>
                <c:pt idx="4">
                  <c:v>0.65022748568502209</c:v>
                </c:pt>
                <c:pt idx="5">
                  <c:v>0.27958719416969346</c:v>
                </c:pt>
                <c:pt idx="6">
                  <c:v>-9.1053097345635159E-2</c:v>
                </c:pt>
                <c:pt idx="7">
                  <c:v>-0.46169338886096423</c:v>
                </c:pt>
                <c:pt idx="8">
                  <c:v>-0.83233368037629285</c:v>
                </c:pt>
                <c:pt idx="9">
                  <c:v>-1.2029739718916219</c:v>
                </c:pt>
                <c:pt idx="10">
                  <c:v>-1.5736142634069505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F757-4F8D-BD13-560A8579F2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969408"/>
        <c:axId val="249969984"/>
      </c:scatterChart>
      <c:valAx>
        <c:axId val="249969408"/>
        <c:scaling>
          <c:orientation val="minMax"/>
          <c:max val="1"/>
        </c:scaling>
        <c:delete val="0"/>
        <c:axPos val="b"/>
        <c:numFmt formatCode="General" sourceLinked="1"/>
        <c:majorTickMark val="none"/>
        <c:minorTickMark val="none"/>
        <c:tickLblPos val="nextTo"/>
        <c:crossAx val="249969984"/>
        <c:crosses val="autoZero"/>
        <c:crossBetween val="midCat"/>
      </c:valAx>
      <c:valAx>
        <c:axId val="249969984"/>
        <c:scaling>
          <c:orientation val="minMax"/>
          <c:max val="1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crossAx val="249969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1</xdr:row>
          <xdr:rowOff>161925</xdr:rowOff>
        </xdr:from>
        <xdr:to>
          <xdr:col>18</xdr:col>
          <xdr:colOff>9525</xdr:colOff>
          <xdr:row>3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분류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5</xdr:col>
      <xdr:colOff>47624</xdr:colOff>
      <xdr:row>4</xdr:row>
      <xdr:rowOff>47625</xdr:rowOff>
    </xdr:from>
    <xdr:to>
      <xdr:col>12</xdr:col>
      <xdr:colOff>485774</xdr:colOff>
      <xdr:row>23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</xdr:row>
          <xdr:rowOff>161925</xdr:rowOff>
        </xdr:from>
        <xdr:to>
          <xdr:col>15</xdr:col>
          <xdr:colOff>685800</xdr:colOff>
          <xdr:row>3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차트 초기화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23"/>
  <sheetViews>
    <sheetView tabSelected="1" zoomScaleNormal="100" workbookViewId="0">
      <selection activeCell="N23" sqref="N23"/>
    </sheetView>
  </sheetViews>
  <sheetFormatPr defaultRowHeight="13.5" x14ac:dyDescent="0.3"/>
  <cols>
    <col min="1" max="1" width="5.5" style="1" customWidth="1"/>
    <col min="2" max="3" width="7.625" style="1" customWidth="1"/>
    <col min="4" max="4" width="6.5" style="1" customWidth="1"/>
    <col min="5" max="5" width="8.5" style="1" customWidth="1"/>
    <col min="6" max="7" width="6.25" style="1" customWidth="1"/>
    <col min="8" max="9" width="6" style="1" bestFit="1" customWidth="1"/>
    <col min="10" max="12" width="5.375" style="1" bestFit="1" customWidth="1"/>
    <col min="13" max="13" width="6.375" style="1" bestFit="1" customWidth="1"/>
    <col min="14" max="14" width="3.75" style="1" customWidth="1"/>
    <col min="15" max="16384" width="9" style="1"/>
  </cols>
  <sheetData>
    <row r="1" spans="1:18" ht="24" customHeight="1" x14ac:dyDescent="0.3">
      <c r="A1" s="19" t="s">
        <v>13</v>
      </c>
      <c r="B1" s="19"/>
      <c r="C1" s="19"/>
      <c r="D1" s="19"/>
      <c r="E1" s="19"/>
      <c r="F1" s="19"/>
      <c r="G1" s="19"/>
      <c r="H1" s="19"/>
      <c r="I1" s="19"/>
      <c r="J1" s="19"/>
    </row>
    <row r="2" spans="1:18" x14ac:dyDescent="0.3">
      <c r="B2" s="17" t="s">
        <v>3</v>
      </c>
      <c r="C2" s="17"/>
      <c r="D2" s="17"/>
      <c r="E2" s="4"/>
      <c r="F2" s="18" t="s">
        <v>6</v>
      </c>
      <c r="G2" s="18"/>
    </row>
    <row r="3" spans="1:18" x14ac:dyDescent="0.3">
      <c r="A3" s="9" t="s">
        <v>4</v>
      </c>
      <c r="B3" s="10" t="s">
        <v>0</v>
      </c>
      <c r="C3" s="10" t="s">
        <v>1</v>
      </c>
      <c r="D3" s="10" t="s">
        <v>2</v>
      </c>
      <c r="E3" s="10" t="s">
        <v>7</v>
      </c>
      <c r="F3" s="11" t="s">
        <v>5</v>
      </c>
      <c r="G3" s="12" t="s">
        <v>16</v>
      </c>
      <c r="H3" s="12" t="s">
        <v>8</v>
      </c>
      <c r="I3" s="12" t="s">
        <v>9</v>
      </c>
      <c r="J3" s="12" t="s">
        <v>10</v>
      </c>
      <c r="K3" s="12" t="s">
        <v>14</v>
      </c>
      <c r="L3" s="12" t="s">
        <v>15</v>
      </c>
      <c r="M3" s="12" t="s">
        <v>20</v>
      </c>
    </row>
    <row r="4" spans="1:18" x14ac:dyDescent="0.3">
      <c r="A4" s="3">
        <v>1</v>
      </c>
      <c r="B4" s="2">
        <v>0.2</v>
      </c>
      <c r="C4" s="13">
        <v>0.86870000000000003</v>
      </c>
      <c r="D4" s="2">
        <v>1</v>
      </c>
      <c r="E4" s="2">
        <v>0</v>
      </c>
      <c r="F4" s="5">
        <v>20</v>
      </c>
      <c r="G4" s="3">
        <v>10000</v>
      </c>
      <c r="H4" s="7">
        <v>-11.902488390466873</v>
      </c>
      <c r="I4" s="7">
        <v>-3.2113314884910755</v>
      </c>
      <c r="J4" s="7">
        <v>7.85900204864895</v>
      </c>
      <c r="K4" s="7">
        <v>8.8590020486498968</v>
      </c>
      <c r="L4" s="7">
        <v>6.849091355649441</v>
      </c>
      <c r="M4" s="3">
        <v>1</v>
      </c>
    </row>
    <row r="5" spans="1:18" x14ac:dyDescent="0.3">
      <c r="A5" s="3">
        <v>2</v>
      </c>
      <c r="B5" s="2">
        <v>0.68710000000000004</v>
      </c>
      <c r="C5" s="2">
        <v>0.21199999999999999</v>
      </c>
      <c r="D5" s="2">
        <v>-1</v>
      </c>
      <c r="E5" s="2">
        <v>2227.2621870869943</v>
      </c>
      <c r="O5" s="14" t="s">
        <v>19</v>
      </c>
      <c r="P5" s="15"/>
      <c r="Q5" s="15"/>
      <c r="R5" s="16"/>
    </row>
    <row r="6" spans="1:18" ht="13.5" customHeight="1" x14ac:dyDescent="0.3">
      <c r="A6" s="3">
        <v>3</v>
      </c>
      <c r="B6" s="2">
        <v>0.82179999999999997</v>
      </c>
      <c r="C6" s="2">
        <v>0.41103000000000001</v>
      </c>
      <c r="D6" s="2">
        <v>-1</v>
      </c>
      <c r="E6" s="2">
        <v>0</v>
      </c>
      <c r="O6" s="3" t="s">
        <v>11</v>
      </c>
      <c r="P6" s="3" t="s">
        <v>12</v>
      </c>
      <c r="Q6" s="3" t="s">
        <v>17</v>
      </c>
      <c r="R6" s="3" t="s">
        <v>18</v>
      </c>
    </row>
    <row r="7" spans="1:18" x14ac:dyDescent="0.3">
      <c r="A7" s="3">
        <v>4</v>
      </c>
      <c r="B7" s="2">
        <v>0.73819999999999997</v>
      </c>
      <c r="C7" s="2">
        <v>0.69359999999999999</v>
      </c>
      <c r="D7" s="2">
        <v>-1</v>
      </c>
      <c r="E7" s="2">
        <v>0</v>
      </c>
      <c r="O7" s="3">
        <v>0</v>
      </c>
      <c r="P7" s="8">
        <f>IF($M$4&gt;0, -O7*$H$4/$I$4 - $J$4/$I$4, #N/A)</f>
        <v>2.4472721289640824</v>
      </c>
      <c r="Q7" s="8">
        <f>IF($M$4&gt;0, -O7*$H$4/$I$4 - $K$4/$I$4, #N/A)</f>
        <v>2.7586694430018248</v>
      </c>
      <c r="R7" s="8">
        <f>IF($M$4&gt;0, -O7*$H$4/$I$4 - $L$4/$I$4, #N/A)</f>
        <v>2.1327886517463379</v>
      </c>
    </row>
    <row r="8" spans="1:18" x14ac:dyDescent="0.3">
      <c r="A8" s="3">
        <v>5</v>
      </c>
      <c r="B8" s="2">
        <v>0.17630000000000001</v>
      </c>
      <c r="C8" s="13">
        <v>0.45790000000000003</v>
      </c>
      <c r="D8" s="2">
        <v>1</v>
      </c>
      <c r="E8" s="2">
        <v>0</v>
      </c>
      <c r="O8" s="3">
        <f t="shared" ref="O8:O17" si="0">O7+0.1</f>
        <v>0.1</v>
      </c>
      <c r="P8" s="8">
        <f t="shared" ref="P8:P17" si="1">IF($M$4&gt;0, -O8*$H$4/$I$4 - $J$4/$I$4, #N/A)</f>
        <v>2.0766318374487533</v>
      </c>
      <c r="Q8" s="8">
        <f t="shared" ref="Q8:Q17" si="2">IF($M$4&gt;0, -O8*$H$4/$I$4 - $K$4/$I$4, #N/A)</f>
        <v>2.3880291514864957</v>
      </c>
      <c r="R8" s="8">
        <f t="shared" ref="R8:R17" si="3">IF($M$4&gt;0, -O8*$H$4/$I$4 - $L$4/$I$4, #N/A)</f>
        <v>1.7621483602310088</v>
      </c>
    </row>
    <row r="9" spans="1:18" x14ac:dyDescent="0.3">
      <c r="A9" s="3">
        <v>6</v>
      </c>
      <c r="B9" s="2">
        <v>0.40570000000000001</v>
      </c>
      <c r="C9" s="13">
        <v>0.75290000000000001</v>
      </c>
      <c r="D9" s="2">
        <v>1</v>
      </c>
      <c r="E9" s="2">
        <v>10000</v>
      </c>
      <c r="O9" s="3">
        <f t="shared" si="0"/>
        <v>0.2</v>
      </c>
      <c r="P9" s="8">
        <f t="shared" si="1"/>
        <v>1.7059915459334245</v>
      </c>
      <c r="Q9" s="8">
        <f t="shared" si="2"/>
        <v>2.0173888599711667</v>
      </c>
      <c r="R9" s="8">
        <f t="shared" si="3"/>
        <v>1.39150806871568</v>
      </c>
    </row>
    <row r="10" spans="1:18" ht="13.5" customHeight="1" x14ac:dyDescent="0.3">
      <c r="A10" s="3">
        <v>7</v>
      </c>
      <c r="B10" s="2">
        <v>0.9355</v>
      </c>
      <c r="C10" s="2">
        <v>0.41320000000000001</v>
      </c>
      <c r="D10" s="2">
        <v>-1</v>
      </c>
      <c r="E10" s="2">
        <v>0</v>
      </c>
      <c r="O10" s="3">
        <f t="shared" si="0"/>
        <v>0.30000000000000004</v>
      </c>
      <c r="P10" s="8">
        <f t="shared" si="1"/>
        <v>1.3353512544180954</v>
      </c>
      <c r="Q10" s="8">
        <f t="shared" si="2"/>
        <v>1.6467485684558378</v>
      </c>
      <c r="R10" s="8">
        <f t="shared" si="3"/>
        <v>1.0208677772003509</v>
      </c>
    </row>
    <row r="11" spans="1:18" x14ac:dyDescent="0.3">
      <c r="A11" s="3">
        <v>8</v>
      </c>
      <c r="B11" s="2">
        <v>0.21460000000000001</v>
      </c>
      <c r="C11" s="13">
        <v>0.40990000000000004</v>
      </c>
      <c r="D11" s="2">
        <v>1</v>
      </c>
      <c r="E11" s="2">
        <v>0</v>
      </c>
      <c r="O11" s="3">
        <f t="shared" si="0"/>
        <v>0.4</v>
      </c>
      <c r="P11" s="8">
        <f t="shared" si="1"/>
        <v>0.96471096290276659</v>
      </c>
      <c r="Q11" s="8">
        <f t="shared" si="2"/>
        <v>1.276108276940509</v>
      </c>
      <c r="R11" s="8">
        <f t="shared" si="3"/>
        <v>0.65022748568502209</v>
      </c>
    </row>
    <row r="12" spans="1:18" x14ac:dyDescent="0.3">
      <c r="A12" s="3">
        <v>9</v>
      </c>
      <c r="B12" s="2">
        <v>0.61199999999999999</v>
      </c>
      <c r="C12" s="2">
        <v>0.375</v>
      </c>
      <c r="D12" s="2">
        <v>-1</v>
      </c>
      <c r="E12" s="2">
        <v>10000</v>
      </c>
      <c r="O12" s="3">
        <f t="shared" si="0"/>
        <v>0.5</v>
      </c>
      <c r="P12" s="8">
        <f t="shared" si="1"/>
        <v>0.59407067138743797</v>
      </c>
      <c r="Q12" s="8">
        <f t="shared" si="2"/>
        <v>0.90546798542518037</v>
      </c>
      <c r="R12" s="8">
        <f t="shared" si="3"/>
        <v>0.27958719416969346</v>
      </c>
    </row>
    <row r="13" spans="1:18" x14ac:dyDescent="0.3">
      <c r="A13" s="3">
        <v>10</v>
      </c>
      <c r="B13" s="2">
        <v>0.78400000000000003</v>
      </c>
      <c r="C13" s="2">
        <v>0.60199999999999998</v>
      </c>
      <c r="D13" s="2">
        <v>-1</v>
      </c>
      <c r="E13" s="2">
        <v>0</v>
      </c>
      <c r="O13" s="3">
        <f t="shared" si="0"/>
        <v>0.6</v>
      </c>
      <c r="P13" s="8">
        <f t="shared" si="1"/>
        <v>0.22343037987210934</v>
      </c>
      <c r="Q13" s="8">
        <f t="shared" si="2"/>
        <v>0.53482769390985174</v>
      </c>
      <c r="R13" s="8">
        <f t="shared" si="3"/>
        <v>-9.1053097345635159E-2</v>
      </c>
    </row>
    <row r="14" spans="1:18" x14ac:dyDescent="0.3">
      <c r="A14" s="3">
        <v>11</v>
      </c>
      <c r="B14" s="2">
        <v>0.61199999999999999</v>
      </c>
      <c r="C14" s="13">
        <v>0.55400000000000005</v>
      </c>
      <c r="D14" s="2">
        <v>1</v>
      </c>
      <c r="E14" s="2">
        <v>10000</v>
      </c>
      <c r="O14" s="3">
        <f t="shared" si="0"/>
        <v>0.7</v>
      </c>
      <c r="P14" s="8">
        <f t="shared" si="1"/>
        <v>-0.14720991164321973</v>
      </c>
      <c r="Q14" s="8">
        <f t="shared" si="2"/>
        <v>0.16418740239452267</v>
      </c>
      <c r="R14" s="8">
        <f t="shared" si="3"/>
        <v>-0.46169338886096423</v>
      </c>
    </row>
    <row r="15" spans="1:18" x14ac:dyDescent="0.3">
      <c r="A15" s="3">
        <v>12</v>
      </c>
      <c r="B15" s="2">
        <v>0.35699999999999998</v>
      </c>
      <c r="C15" s="2">
        <v>0.254</v>
      </c>
      <c r="D15" s="2">
        <v>-1</v>
      </c>
      <c r="E15" s="2">
        <v>10000</v>
      </c>
      <c r="O15" s="3">
        <f t="shared" si="0"/>
        <v>0.79999999999999993</v>
      </c>
      <c r="P15" s="8">
        <f t="shared" si="1"/>
        <v>-0.51785020315854835</v>
      </c>
      <c r="Q15" s="8">
        <f t="shared" si="2"/>
        <v>-0.20645288912080595</v>
      </c>
      <c r="R15" s="8">
        <f t="shared" si="3"/>
        <v>-0.83233368037629285</v>
      </c>
    </row>
    <row r="16" spans="1:18" x14ac:dyDescent="0.3">
      <c r="A16" s="3">
        <v>13</v>
      </c>
      <c r="B16" s="2">
        <v>0.20399999999999999</v>
      </c>
      <c r="C16" s="13">
        <v>0.77500000000000002</v>
      </c>
      <c r="D16" s="2">
        <v>1</v>
      </c>
      <c r="E16" s="2">
        <v>0</v>
      </c>
      <c r="O16" s="3">
        <f t="shared" si="0"/>
        <v>0.89999999999999991</v>
      </c>
      <c r="P16" s="8">
        <f t="shared" si="1"/>
        <v>-0.88849049467387742</v>
      </c>
      <c r="Q16" s="8">
        <f t="shared" si="2"/>
        <v>-0.57709318063613502</v>
      </c>
      <c r="R16" s="8">
        <f t="shared" si="3"/>
        <v>-1.2029739718916219</v>
      </c>
    </row>
    <row r="17" spans="1:18" x14ac:dyDescent="0.3">
      <c r="A17" s="3">
        <v>14</v>
      </c>
      <c r="B17" s="2">
        <v>0.51200000000000001</v>
      </c>
      <c r="C17" s="2">
        <v>0.745</v>
      </c>
      <c r="D17" s="2">
        <v>-1</v>
      </c>
      <c r="E17" s="2">
        <v>10000</v>
      </c>
      <c r="O17" s="3">
        <f t="shared" si="0"/>
        <v>0.99999999999999989</v>
      </c>
      <c r="P17" s="8">
        <f t="shared" si="1"/>
        <v>-1.259130786189206</v>
      </c>
      <c r="Q17" s="8">
        <f t="shared" si="2"/>
        <v>-0.94773347215146364</v>
      </c>
      <c r="R17" s="8">
        <f t="shared" si="3"/>
        <v>-1.5736142634069505</v>
      </c>
    </row>
    <row r="18" spans="1:18" x14ac:dyDescent="0.3">
      <c r="A18" s="3">
        <v>15</v>
      </c>
      <c r="B18" s="2">
        <v>0.498</v>
      </c>
      <c r="C18" s="13">
        <v>0.28699999999999998</v>
      </c>
      <c r="D18" s="2">
        <v>1</v>
      </c>
      <c r="E18" s="2">
        <v>9651.5259163177634</v>
      </c>
    </row>
    <row r="19" spans="1:18" x14ac:dyDescent="0.3">
      <c r="A19" s="3">
        <v>16</v>
      </c>
      <c r="B19" s="2">
        <v>0.251</v>
      </c>
      <c r="C19" s="13">
        <v>0.55700000000000005</v>
      </c>
      <c r="D19" s="2">
        <v>1</v>
      </c>
      <c r="E19" s="2">
        <v>0</v>
      </c>
    </row>
    <row r="20" spans="1:18" x14ac:dyDescent="0.3">
      <c r="A20" s="3">
        <v>17</v>
      </c>
      <c r="B20" s="2">
        <v>0.502</v>
      </c>
      <c r="C20" s="13">
        <v>0.52300000000000002</v>
      </c>
      <c r="D20" s="2">
        <v>1</v>
      </c>
      <c r="E20" s="2">
        <v>10000</v>
      </c>
    </row>
    <row r="21" spans="1:18" x14ac:dyDescent="0.3">
      <c r="A21" s="3">
        <v>18</v>
      </c>
      <c r="B21" s="2">
        <v>0.11899999999999999</v>
      </c>
      <c r="C21" s="13">
        <v>0.68700000000000006</v>
      </c>
      <c r="D21" s="2">
        <v>1</v>
      </c>
      <c r="E21" s="2">
        <v>0</v>
      </c>
    </row>
    <row r="22" spans="1:18" x14ac:dyDescent="0.3">
      <c r="A22" s="3">
        <v>19</v>
      </c>
      <c r="B22" s="2">
        <v>0.495</v>
      </c>
      <c r="C22" s="2">
        <v>0.92400000000000004</v>
      </c>
      <c r="D22" s="2">
        <v>-1</v>
      </c>
      <c r="E22" s="2">
        <v>7424.2637292307863</v>
      </c>
    </row>
    <row r="23" spans="1:18" x14ac:dyDescent="0.3">
      <c r="A23" s="3">
        <v>20</v>
      </c>
      <c r="B23" s="2">
        <v>0.61199999999999999</v>
      </c>
      <c r="C23" s="2">
        <v>0.85099999999999998</v>
      </c>
      <c r="D23" s="2">
        <v>-1</v>
      </c>
      <c r="E23" s="2">
        <v>0</v>
      </c>
    </row>
  </sheetData>
  <sortState ref="A4:D23">
    <sortCondition ref="A4:A23"/>
  </sortState>
  <mergeCells count="4">
    <mergeCell ref="O5:R5"/>
    <mergeCell ref="B2:D2"/>
    <mergeCell ref="F2:G2"/>
    <mergeCell ref="A1:J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rain">
                <anchor moveWithCells="1" sizeWithCells="1">
                  <from>
                    <xdr:col>16</xdr:col>
                    <xdr:colOff>19050</xdr:colOff>
                    <xdr:row>1</xdr:row>
                    <xdr:rowOff>161925</xdr:rowOff>
                  </from>
                  <to>
                    <xdr:col>18</xdr:col>
                    <xdr:colOff>9525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nitChart">
                <anchor moveWithCells="1" sizeWithCells="1">
                  <from>
                    <xdr:col>14</xdr:col>
                    <xdr:colOff>9525</xdr:colOff>
                    <xdr:row>1</xdr:row>
                    <xdr:rowOff>161925</xdr:rowOff>
                  </from>
                  <to>
                    <xdr:col>15</xdr:col>
                    <xdr:colOff>685800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0"/>
  <sheetViews>
    <sheetView workbookViewId="0">
      <selection activeCell="I1" sqref="I1:K20"/>
    </sheetView>
  </sheetViews>
  <sheetFormatPr defaultRowHeight="13.5" x14ac:dyDescent="0.3"/>
  <cols>
    <col min="1" max="16384" width="9" style="6"/>
  </cols>
  <sheetData>
    <row r="1" spans="1:11" x14ac:dyDescent="0.3">
      <c r="A1" s="2">
        <v>0.2</v>
      </c>
      <c r="B1" s="2">
        <v>0.46870000000000001</v>
      </c>
      <c r="C1" s="2">
        <v>1</v>
      </c>
      <c r="E1" s="2">
        <v>0.2</v>
      </c>
      <c r="F1" s="2">
        <v>0.46870000000000001</v>
      </c>
      <c r="G1" s="2">
        <v>1</v>
      </c>
      <c r="I1" s="2">
        <v>0.2</v>
      </c>
      <c r="J1" s="13">
        <v>0.86870000000000003</v>
      </c>
      <c r="K1" s="2">
        <v>1</v>
      </c>
    </row>
    <row r="2" spans="1:11" x14ac:dyDescent="0.3">
      <c r="A2" s="2">
        <v>0.68710000000000004</v>
      </c>
      <c r="B2" s="2">
        <v>0.61099999999999999</v>
      </c>
      <c r="C2" s="2">
        <v>-1</v>
      </c>
      <c r="E2" s="2">
        <v>0.68710000000000004</v>
      </c>
      <c r="F2" s="2">
        <v>0.61099999999999999</v>
      </c>
      <c r="G2" s="2">
        <v>-1</v>
      </c>
      <c r="I2" s="2">
        <v>0.68710000000000004</v>
      </c>
      <c r="J2" s="2">
        <v>0.21199999999999999</v>
      </c>
      <c r="K2" s="2">
        <v>-1</v>
      </c>
    </row>
    <row r="3" spans="1:11" x14ac:dyDescent="0.3">
      <c r="A3" s="2">
        <v>0.92179999999999995</v>
      </c>
      <c r="B3" s="2">
        <v>0.4103</v>
      </c>
      <c r="C3" s="2">
        <v>-1</v>
      </c>
      <c r="E3" s="2">
        <v>0.92179999999999995</v>
      </c>
      <c r="F3" s="2">
        <v>0.4103</v>
      </c>
      <c r="G3" s="2">
        <v>-1</v>
      </c>
      <c r="I3" s="2">
        <v>0.82179999999999997</v>
      </c>
      <c r="J3" s="2">
        <v>0.41103000000000001</v>
      </c>
      <c r="K3" s="2">
        <v>-1</v>
      </c>
    </row>
    <row r="4" spans="1:11" x14ac:dyDescent="0.3">
      <c r="A4" s="2">
        <v>0.73819999999999997</v>
      </c>
      <c r="B4" s="2">
        <v>0.89359999999999995</v>
      </c>
      <c r="C4" s="2">
        <v>-1</v>
      </c>
      <c r="E4" s="2">
        <v>0.73819999999999997</v>
      </c>
      <c r="F4" s="2">
        <v>0.89359999999999995</v>
      </c>
      <c r="G4" s="2">
        <v>-1</v>
      </c>
      <c r="I4" s="2">
        <v>0.73819999999999997</v>
      </c>
      <c r="J4" s="2">
        <v>0.69359999999999999</v>
      </c>
      <c r="K4" s="2">
        <v>-1</v>
      </c>
    </row>
    <row r="5" spans="1:11" x14ac:dyDescent="0.3">
      <c r="A5" s="2">
        <v>0.17630000000000001</v>
      </c>
      <c r="B5" s="2">
        <v>5.79E-2</v>
      </c>
      <c r="C5" s="2">
        <v>1</v>
      </c>
      <c r="E5" s="2">
        <v>0.17630000000000001</v>
      </c>
      <c r="F5" s="2">
        <v>5.79E-2</v>
      </c>
      <c r="G5" s="2">
        <v>1</v>
      </c>
      <c r="I5" s="2">
        <v>0.17630000000000001</v>
      </c>
      <c r="J5" s="13">
        <v>0.45790000000000003</v>
      </c>
      <c r="K5" s="2">
        <v>1</v>
      </c>
    </row>
    <row r="6" spans="1:11" x14ac:dyDescent="0.3">
      <c r="A6" s="2">
        <v>0.40570000000000001</v>
      </c>
      <c r="B6" s="2">
        <v>0.35289999999999999</v>
      </c>
      <c r="C6" s="2">
        <v>1</v>
      </c>
      <c r="E6" s="2">
        <v>0.40570000000000001</v>
      </c>
      <c r="F6" s="2">
        <v>0.35289999999999999</v>
      </c>
      <c r="G6" s="2">
        <v>1</v>
      </c>
      <c r="I6" s="2">
        <v>0.40570000000000001</v>
      </c>
      <c r="J6" s="13">
        <v>0.75290000000000001</v>
      </c>
      <c r="K6" s="2">
        <v>1</v>
      </c>
    </row>
    <row r="7" spans="1:11" x14ac:dyDescent="0.3">
      <c r="A7" s="2">
        <v>0.9355</v>
      </c>
      <c r="B7" s="2">
        <v>0.81320000000000003</v>
      </c>
      <c r="C7" s="2">
        <v>-1</v>
      </c>
      <c r="E7" s="2">
        <v>0.9355</v>
      </c>
      <c r="F7" s="2">
        <v>0.81320000000000003</v>
      </c>
      <c r="G7" s="2">
        <v>-1</v>
      </c>
      <c r="I7" s="2">
        <v>0.9355</v>
      </c>
      <c r="J7" s="2">
        <v>0.41320000000000001</v>
      </c>
      <c r="K7" s="2">
        <v>-1</v>
      </c>
    </row>
    <row r="8" spans="1:11" x14ac:dyDescent="0.3">
      <c r="A8" s="2">
        <v>0.21460000000000001</v>
      </c>
      <c r="B8" s="2">
        <v>9.9000000000000008E-3</v>
      </c>
      <c r="C8" s="2">
        <v>1</v>
      </c>
      <c r="E8" s="2">
        <v>0.21460000000000001</v>
      </c>
      <c r="F8" s="2">
        <v>9.9000000000000008E-3</v>
      </c>
      <c r="G8" s="2">
        <v>1</v>
      </c>
      <c r="I8" s="2">
        <v>0.21460000000000001</v>
      </c>
      <c r="J8" s="13">
        <v>0.40990000000000004</v>
      </c>
      <c r="K8" s="2">
        <v>1</v>
      </c>
    </row>
    <row r="9" spans="1:11" x14ac:dyDescent="0.3">
      <c r="A9" s="2">
        <v>0.81200000000000006</v>
      </c>
      <c r="B9" s="2">
        <v>0.74299999999999999</v>
      </c>
      <c r="C9" s="2">
        <v>-1</v>
      </c>
      <c r="E9" s="2">
        <v>0.81200000000000006</v>
      </c>
      <c r="F9" s="2">
        <v>0.74299999999999999</v>
      </c>
      <c r="G9" s="2">
        <v>-1</v>
      </c>
      <c r="I9" s="2">
        <v>0.61199999999999999</v>
      </c>
      <c r="J9" s="2">
        <v>0.375</v>
      </c>
      <c r="K9" s="2">
        <v>-1</v>
      </c>
    </row>
    <row r="10" spans="1:11" x14ac:dyDescent="0.3">
      <c r="A10" s="2">
        <v>0.78400000000000003</v>
      </c>
      <c r="B10" s="2">
        <v>0.60199999999999998</v>
      </c>
      <c r="C10" s="2">
        <v>-1</v>
      </c>
      <c r="E10" s="2">
        <v>0.78400000000000003</v>
      </c>
      <c r="F10" s="2">
        <v>0.60199999999999998</v>
      </c>
      <c r="G10" s="2">
        <v>-1</v>
      </c>
      <c r="I10" s="2">
        <v>0.78400000000000003</v>
      </c>
      <c r="J10" s="2">
        <v>0.60199999999999998</v>
      </c>
      <c r="K10" s="2">
        <v>-1</v>
      </c>
    </row>
    <row r="11" spans="1:11" x14ac:dyDescent="0.3">
      <c r="A11" s="2">
        <v>0.61199999999999999</v>
      </c>
      <c r="B11" s="2">
        <v>0.154</v>
      </c>
      <c r="C11" s="2">
        <v>1</v>
      </c>
      <c r="E11" s="2">
        <v>0.61199999999999999</v>
      </c>
      <c r="F11" s="2">
        <v>0.154</v>
      </c>
      <c r="G11" s="2">
        <v>1</v>
      </c>
      <c r="I11" s="2">
        <v>0.61199999999999999</v>
      </c>
      <c r="J11" s="13">
        <v>0.55400000000000005</v>
      </c>
      <c r="K11" s="2">
        <v>1</v>
      </c>
    </row>
    <row r="12" spans="1:11" x14ac:dyDescent="0.3">
      <c r="A12" s="2">
        <v>0.35699999999999998</v>
      </c>
      <c r="B12" s="2">
        <v>0.254</v>
      </c>
      <c r="C12" s="2">
        <v>1</v>
      </c>
      <c r="E12" s="2">
        <v>0.35699999999999998</v>
      </c>
      <c r="F12" s="2">
        <v>0.254</v>
      </c>
      <c r="G12" s="2">
        <v>-1</v>
      </c>
      <c r="I12" s="2">
        <v>0.35699999999999998</v>
      </c>
      <c r="J12" s="2">
        <v>0.254</v>
      </c>
      <c r="K12" s="2">
        <v>-1</v>
      </c>
    </row>
    <row r="13" spans="1:11" x14ac:dyDescent="0.3">
      <c r="A13" s="2">
        <v>0.20399999999999999</v>
      </c>
      <c r="B13" s="2">
        <v>0.375</v>
      </c>
      <c r="C13" s="2">
        <v>1</v>
      </c>
      <c r="E13" s="2">
        <v>0.20399999999999999</v>
      </c>
      <c r="F13" s="2">
        <v>0.375</v>
      </c>
      <c r="G13" s="2">
        <v>1</v>
      </c>
      <c r="I13" s="2">
        <v>0.20399999999999999</v>
      </c>
      <c r="J13" s="13">
        <v>0.77500000000000002</v>
      </c>
      <c r="K13" s="2">
        <v>1</v>
      </c>
    </row>
    <row r="14" spans="1:11" x14ac:dyDescent="0.3">
      <c r="A14" s="2">
        <v>0.41199999999999998</v>
      </c>
      <c r="B14" s="2">
        <v>0.745</v>
      </c>
      <c r="C14" s="2">
        <v>-1</v>
      </c>
      <c r="E14" s="2">
        <v>0.41199999999999998</v>
      </c>
      <c r="F14" s="2">
        <v>0.745</v>
      </c>
      <c r="G14" s="2">
        <v>-1</v>
      </c>
      <c r="I14" s="2">
        <v>0.51200000000000001</v>
      </c>
      <c r="J14" s="2">
        <v>0.745</v>
      </c>
      <c r="K14" s="2">
        <v>-1</v>
      </c>
    </row>
    <row r="15" spans="1:11" x14ac:dyDescent="0.3">
      <c r="A15" s="2">
        <v>0.59799999999999998</v>
      </c>
      <c r="B15" s="2">
        <v>0.72299999999999998</v>
      </c>
      <c r="C15" s="2">
        <v>-1</v>
      </c>
      <c r="E15" s="2">
        <v>0.59799999999999998</v>
      </c>
      <c r="F15" s="2">
        <v>0.72299999999999998</v>
      </c>
      <c r="G15" s="2">
        <v>1</v>
      </c>
      <c r="I15" s="2">
        <v>0.498</v>
      </c>
      <c r="J15" s="13">
        <v>0.28699999999999998</v>
      </c>
      <c r="K15" s="2">
        <v>1</v>
      </c>
    </row>
    <row r="16" spans="1:11" x14ac:dyDescent="0.3">
      <c r="A16" s="2">
        <v>0.251</v>
      </c>
      <c r="B16" s="2">
        <v>0.157</v>
      </c>
      <c r="C16" s="2">
        <v>1</v>
      </c>
      <c r="E16" s="2">
        <v>0.251</v>
      </c>
      <c r="F16" s="2">
        <v>0.157</v>
      </c>
      <c r="G16" s="2">
        <v>1</v>
      </c>
      <c r="I16" s="2">
        <v>0.251</v>
      </c>
      <c r="J16" s="13">
        <v>0.55700000000000005</v>
      </c>
      <c r="K16" s="2">
        <v>1</v>
      </c>
    </row>
    <row r="17" spans="1:11" x14ac:dyDescent="0.3">
      <c r="A17" s="2">
        <v>0.502</v>
      </c>
      <c r="B17" s="2">
        <v>0.123</v>
      </c>
      <c r="C17" s="2">
        <v>1</v>
      </c>
      <c r="E17" s="2">
        <v>0.502</v>
      </c>
      <c r="F17" s="2">
        <v>0.123</v>
      </c>
      <c r="G17" s="2">
        <v>1</v>
      </c>
      <c r="I17" s="2">
        <v>0.502</v>
      </c>
      <c r="J17" s="13">
        <v>0.52300000000000002</v>
      </c>
      <c r="K17" s="2">
        <v>1</v>
      </c>
    </row>
    <row r="18" spans="1:11" x14ac:dyDescent="0.3">
      <c r="A18" s="2">
        <v>0.11899999999999999</v>
      </c>
      <c r="B18" s="2">
        <v>0.28699999999999998</v>
      </c>
      <c r="C18" s="2">
        <v>1</v>
      </c>
      <c r="E18" s="2">
        <v>0.11899999999999999</v>
      </c>
      <c r="F18" s="2">
        <v>0.28699999999999998</v>
      </c>
      <c r="G18" s="2">
        <v>1</v>
      </c>
      <c r="I18" s="2">
        <v>0.11899999999999999</v>
      </c>
      <c r="J18" s="13">
        <v>0.68700000000000006</v>
      </c>
      <c r="K18" s="2">
        <v>1</v>
      </c>
    </row>
    <row r="19" spans="1:11" x14ac:dyDescent="0.3">
      <c r="A19" s="2">
        <v>0.29499999999999998</v>
      </c>
      <c r="B19" s="2">
        <v>0.92400000000000004</v>
      </c>
      <c r="C19" s="2">
        <v>-1</v>
      </c>
      <c r="E19" s="2">
        <v>0.29499999999999998</v>
      </c>
      <c r="F19" s="2">
        <v>0.92400000000000004</v>
      </c>
      <c r="G19" s="2">
        <v>-1</v>
      </c>
      <c r="I19" s="2">
        <v>0.495</v>
      </c>
      <c r="J19" s="2">
        <v>0.92400000000000004</v>
      </c>
      <c r="K19" s="2">
        <v>-1</v>
      </c>
    </row>
    <row r="20" spans="1:11" x14ac:dyDescent="0.3">
      <c r="A20" s="2">
        <v>0.61199999999999999</v>
      </c>
      <c r="B20" s="2">
        <v>0.85099999999999998</v>
      </c>
      <c r="C20" s="2">
        <v>-1</v>
      </c>
      <c r="E20" s="2">
        <v>0.61199999999999999</v>
      </c>
      <c r="F20" s="2">
        <v>0.85099999999999998</v>
      </c>
      <c r="G20" s="2">
        <v>-1</v>
      </c>
      <c r="I20" s="2">
        <v>0.61199999999999999</v>
      </c>
      <c r="J20" s="2">
        <v>0.85099999999999998</v>
      </c>
      <c r="K20" s="2">
        <v>-1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SVM</vt:lpstr>
      <vt:lpstr>학습데이터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seong</dc:creator>
  <cp:lastModifiedBy>seong</cp:lastModifiedBy>
  <dcterms:created xsi:type="dcterms:W3CDTF">2016-06-16T02:25:47Z</dcterms:created>
  <dcterms:modified xsi:type="dcterms:W3CDTF">2016-12-31T15:11:22Z</dcterms:modified>
</cp:coreProperties>
</file>